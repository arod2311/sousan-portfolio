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Projects\DocusignAWSProject\modernGUI\examples\documents\"/>
    </mc:Choice>
  </mc:AlternateContent>
  <xr:revisionPtr revIDLastSave="0" documentId="13_ncr:1_{F1C34F3C-2A3E-40E6-A679-BE2AA8A57153}" xr6:coauthVersionLast="47" xr6:coauthVersionMax="47" xr10:uidLastSave="{00000000-0000-0000-0000-000000000000}"/>
  <bookViews>
    <workbookView xWindow="-108" yWindow="-108" windowWidth="41496" windowHeight="16776" xr2:uid="{C2C16A78-A278-474A-B911-7C5073EC2088}"/>
  </bookViews>
  <sheets>
    <sheet name="PromotionPricing-FL Only" sheetId="1" r:id="rId1"/>
    <sheet name="Front load Outside City Limits" sheetId="2" r:id="rId2"/>
    <sheet name="Pricing-Front Load" sheetId="4" r:id="rId3"/>
    <sheet name="Pricing-Roll Off" sheetId="5" r:id="rId4"/>
    <sheet name="Pricing - FL OutsideCityLimi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  <c r="C36" i="1"/>
  <c r="C35" i="1"/>
  <c r="C34" i="1"/>
  <c r="C33" i="1"/>
  <c r="C32" i="1"/>
  <c r="C29" i="1"/>
  <c r="C28" i="1"/>
  <c r="C27" i="1"/>
  <c r="C26" i="1"/>
  <c r="C25" i="1"/>
  <c r="C22" i="1"/>
  <c r="C21" i="1"/>
  <c r="C20" i="1"/>
  <c r="C19" i="1"/>
  <c r="C18" i="1"/>
  <c r="C15" i="1"/>
  <c r="C14" i="1"/>
  <c r="C13" i="1"/>
  <c r="C12" i="1"/>
  <c r="C11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<sst xmlns="http://schemas.openxmlformats.org/spreadsheetml/2006/main" count="144" uniqueCount="72">
  <si>
    <t>Size</t>
  </si>
  <si>
    <t>Monthly</t>
  </si>
  <si>
    <t>2025: Discounted Monthly Service Fee - 25%</t>
  </si>
  <si>
    <t>Delivery Fee</t>
  </si>
  <si>
    <t>Extra Pickups</t>
  </si>
  <si>
    <t>Fuel Surcharge</t>
  </si>
  <si>
    <t>Container Size</t>
  </si>
  <si>
    <t>2 Yards</t>
  </si>
  <si>
    <t>4 Yards</t>
  </si>
  <si>
    <t>6 Yards</t>
  </si>
  <si>
    <t>8 Yards</t>
  </si>
  <si>
    <t>10 Yards</t>
  </si>
  <si>
    <t>15 Yards</t>
  </si>
  <si>
    <t>20 Yards</t>
  </si>
  <si>
    <t>30 Yards</t>
  </si>
  <si>
    <t>40 Yards</t>
  </si>
  <si>
    <t>Delivery</t>
  </si>
  <si>
    <t>Hauling</t>
  </si>
  <si>
    <t>Disposal/Ton</t>
  </si>
  <si>
    <t>Outside City Limits</t>
  </si>
  <si>
    <t>Outside County</t>
  </si>
  <si>
    <t>Special Waste</t>
  </si>
  <si>
    <t>Fuel Surcharge (added to each haul)</t>
  </si>
  <si>
    <t>Administration Fee ($1.00 per ton)</t>
  </si>
  <si>
    <t>Hebbronville</t>
  </si>
  <si>
    <t>Disposal/ton</t>
  </si>
  <si>
    <t>Number of Pickups Per Week</t>
  </si>
  <si>
    <t>2024 Southern Sanitation Front Load (Outside City Limits)</t>
  </si>
  <si>
    <t>2024 Southern Sanitation Front Load</t>
  </si>
  <si>
    <t>These are Base Rates - They do not include fuel surcharge or taxes</t>
  </si>
  <si>
    <t>Number of Pickups per week</t>
  </si>
  <si>
    <t>Landfill Fee</t>
  </si>
  <si>
    <t>Total</t>
  </si>
  <si>
    <t>2024 Southern Sanitation Roll Off</t>
  </si>
  <si>
    <t>Disposal Rates</t>
  </si>
  <si>
    <t>Material</t>
  </si>
  <si>
    <t>Charge Rate</t>
  </si>
  <si>
    <t>Charge Unit</t>
  </si>
  <si>
    <t>Cardboard</t>
  </si>
  <si>
    <t>Tons</t>
  </si>
  <si>
    <t>Concrete</t>
  </si>
  <si>
    <t>Construction Debris</t>
  </si>
  <si>
    <t>Food</t>
  </si>
  <si>
    <t>Metal</t>
  </si>
  <si>
    <t>Sludge</t>
  </si>
  <si>
    <t>Tires</t>
  </si>
  <si>
    <t>Each</t>
  </si>
  <si>
    <t>Trash</t>
  </si>
  <si>
    <t>Other Disposal Rates</t>
  </si>
  <si>
    <t>Condition</t>
  </si>
  <si>
    <t>Fees</t>
  </si>
  <si>
    <t>Amount</t>
  </si>
  <si>
    <t>Per Ton</t>
  </si>
  <si>
    <t>Per each Haul</t>
  </si>
  <si>
    <t>Fee</t>
  </si>
  <si>
    <t>Other Fees</t>
  </si>
  <si>
    <t>Monthly Rental (If no Activity for over a month)</t>
  </si>
  <si>
    <t>Per Month</t>
  </si>
  <si>
    <t>City</t>
  </si>
  <si>
    <t>N/A</t>
  </si>
  <si>
    <t>October and November Promo Monthly</t>
  </si>
  <si>
    <t>Front Load 1 time per week</t>
  </si>
  <si>
    <t>Front Load 2 times per week</t>
  </si>
  <si>
    <t>Front Load 3 times per week</t>
  </si>
  <si>
    <t>Front Load 4 times per week</t>
  </si>
  <si>
    <t>Front Load 5 times per week</t>
  </si>
  <si>
    <t>Front Load 6 times per week</t>
  </si>
  <si>
    <t xml:space="preserve">Front Load </t>
  </si>
  <si>
    <t>Outside City Limits - Front Load 1 time per week</t>
  </si>
  <si>
    <t xml:space="preserve">Front Load 2 </t>
  </si>
  <si>
    <t>Outside City Limits - Front Load 2 times per week</t>
  </si>
  <si>
    <t>Outside City Limits - Front Load 3 times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</si>
</sst>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#,##0.000_);\([$$-409]#,##0.0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4" fillId="2" borderId="5" xfId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4" fillId="2" borderId="7" xfId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0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3" borderId="11" xfId="1" applyFont="1" applyFill="1" applyBorder="1" applyAlignment="1">
      <alignment horizontal="center"/>
    </xf>
    <xf numFmtId="0" fontId="2" fillId="0" borderId="14" xfId="0" applyFont="1" applyBorder="1"/>
    <xf numFmtId="44" fontId="0" fillId="0" borderId="15" xfId="1" applyFont="1" applyBorder="1"/>
    <xf numFmtId="0" fontId="2" fillId="0" borderId="6" xfId="0" applyFont="1" applyBorder="1"/>
    <xf numFmtId="44" fontId="0" fillId="0" borderId="16" xfId="1" applyFont="1" applyBorder="1"/>
    <xf numFmtId="44" fontId="0" fillId="0" borderId="0" xfId="1" applyFont="1"/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44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4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71B5-0D73-44D0-BD57-F776C4483850}">
  <dimension ref="A1:C43"/>
  <sheetViews>
    <sheetView tabSelected="1" workbookViewId="0">
      <selection activeCell="P23" sqref="P23"/>
    </sheetView>
  </sheetViews>
  <sheetFormatPr defaultRowHeight="14.4" x14ac:dyDescent="0.3"/>
  <cols>
    <col min="1" max="1" width="4.21875" bestFit="1" customWidth="1"/>
    <col min="2" max="2" width="8.6640625" bestFit="1" customWidth="1"/>
    <col min="3" max="3" width="40.5546875" bestFit="1" customWidth="1"/>
  </cols>
  <sheetData>
    <row r="1" spans="1:3" ht="15" thickBot="1" x14ac:dyDescent="0.35">
      <c r="A1" s="1"/>
      <c r="B1" s="1"/>
      <c r="C1" s="2" t="s">
        <v>60</v>
      </c>
    </row>
    <row r="2" spans="1:3" x14ac:dyDescent="0.3">
      <c r="A2" s="3" t="s">
        <v>61</v>
      </c>
      <c r="B2" s="4"/>
      <c r="C2" s="4"/>
    </row>
    <row r="3" spans="1:3" x14ac:dyDescent="0.3">
      <c r="A3" s="6" t="s">
        <v>0</v>
      </c>
      <c r="B3" s="7" t="s">
        <v>1</v>
      </c>
      <c r="C3" s="8" t="s">
        <v>2</v>
      </c>
    </row>
    <row r="4" spans="1:3" x14ac:dyDescent="0.3">
      <c r="A4" s="9">
        <v>2</v>
      </c>
      <c r="B4" s="10">
        <v>60.9</v>
      </c>
      <c r="C4" s="11">
        <f>B4-(B4*0.25)</f>
        <v>45.674999999999997</v>
      </c>
    </row>
    <row r="5" spans="1:3" x14ac:dyDescent="0.3">
      <c r="A5" s="9">
        <v>4</v>
      </c>
      <c r="B5" s="10">
        <v>111.84</v>
      </c>
      <c r="C5" s="11">
        <f>B5-(B5*0.25)</f>
        <v>83.88</v>
      </c>
    </row>
    <row r="6" spans="1:3" x14ac:dyDescent="0.3">
      <c r="A6" s="9">
        <v>6</v>
      </c>
      <c r="B6" s="10">
        <v>143.94</v>
      </c>
      <c r="C6" s="11">
        <f>B6-(B6*0.25)</f>
        <v>107.955</v>
      </c>
    </row>
    <row r="7" spans="1:3" x14ac:dyDescent="0.3">
      <c r="A7" s="9">
        <v>8</v>
      </c>
      <c r="B7" s="10">
        <v>151.69999999999999</v>
      </c>
      <c r="C7" s="11">
        <f>B7-(B7*0.25)</f>
        <v>113.77499999999999</v>
      </c>
    </row>
    <row r="8" spans="1:3" ht="15" thickBot="1" x14ac:dyDescent="0.35">
      <c r="A8" s="12">
        <v>10</v>
      </c>
      <c r="B8" s="13">
        <v>178.27</v>
      </c>
      <c r="C8" s="14">
        <f>B8-(B8*0.25)</f>
        <v>133.70250000000001</v>
      </c>
    </row>
    <row r="9" spans="1:3" x14ac:dyDescent="0.3">
      <c r="A9" s="15" t="s">
        <v>62</v>
      </c>
      <c r="B9" s="16"/>
      <c r="C9" s="16"/>
    </row>
    <row r="10" spans="1:3" x14ac:dyDescent="0.3">
      <c r="A10" s="6" t="s">
        <v>0</v>
      </c>
      <c r="B10" s="7" t="s">
        <v>1</v>
      </c>
      <c r="C10" s="8" t="s">
        <v>2</v>
      </c>
    </row>
    <row r="11" spans="1:3" x14ac:dyDescent="0.3">
      <c r="A11" s="9">
        <v>2</v>
      </c>
      <c r="B11" s="10">
        <v>105.19</v>
      </c>
      <c r="C11" s="11">
        <f>B11-(B11*0.25)</f>
        <v>78.892499999999998</v>
      </c>
    </row>
    <row r="12" spans="1:3" x14ac:dyDescent="0.3">
      <c r="A12" s="9">
        <v>4</v>
      </c>
      <c r="B12" s="10">
        <v>194.88</v>
      </c>
      <c r="C12" s="11">
        <f>B12-(B12*0.25)</f>
        <v>146.16</v>
      </c>
    </row>
    <row r="13" spans="1:3" x14ac:dyDescent="0.3">
      <c r="A13" s="9">
        <v>6</v>
      </c>
      <c r="B13" s="10">
        <v>226.99</v>
      </c>
      <c r="C13" s="11">
        <f>B13-(B13*0.25)</f>
        <v>170.24250000000001</v>
      </c>
    </row>
    <row r="14" spans="1:3" x14ac:dyDescent="0.3">
      <c r="A14" s="9">
        <v>8</v>
      </c>
      <c r="B14" s="10">
        <v>272.38</v>
      </c>
      <c r="C14" s="11">
        <f>B14-(B14*0.25)</f>
        <v>204.285</v>
      </c>
    </row>
    <row r="15" spans="1:3" ht="15" thickBot="1" x14ac:dyDescent="0.35">
      <c r="A15" s="12">
        <v>10</v>
      </c>
      <c r="B15" s="13">
        <v>338.82</v>
      </c>
      <c r="C15" s="14">
        <f>B15-(B15*0.25)</f>
        <v>254.11500000000001</v>
      </c>
    </row>
    <row r="16" spans="1:3" x14ac:dyDescent="0.3">
      <c r="A16" s="15" t="s">
        <v>63</v>
      </c>
      <c r="B16" s="16"/>
      <c r="C16" s="16"/>
    </row>
    <row r="17" spans="1:3" x14ac:dyDescent="0.3">
      <c r="A17" s="6" t="s">
        <v>0</v>
      </c>
      <c r="B17" s="7" t="s">
        <v>1</v>
      </c>
      <c r="C17" s="8" t="s">
        <v>2</v>
      </c>
    </row>
    <row r="18" spans="1:3" x14ac:dyDescent="0.3">
      <c r="A18" s="9">
        <v>2</v>
      </c>
      <c r="B18" s="10">
        <v>157.22999999999999</v>
      </c>
      <c r="C18" s="11">
        <f>B18-(B18*0.25)</f>
        <v>117.92249999999999</v>
      </c>
    </row>
    <row r="19" spans="1:3" x14ac:dyDescent="0.3">
      <c r="A19" s="9">
        <v>4</v>
      </c>
      <c r="B19" s="10">
        <v>262.42</v>
      </c>
      <c r="C19" s="11">
        <f>B19-(B19*0.25)</f>
        <v>196.815</v>
      </c>
    </row>
    <row r="20" spans="1:3" x14ac:dyDescent="0.3">
      <c r="A20" s="9">
        <v>6</v>
      </c>
      <c r="B20" s="10">
        <v>307.82</v>
      </c>
      <c r="C20" s="11">
        <f>B20-(B20*0.25)</f>
        <v>230.86500000000001</v>
      </c>
    </row>
    <row r="21" spans="1:3" x14ac:dyDescent="0.3">
      <c r="A21" s="9">
        <v>8</v>
      </c>
      <c r="B21" s="10">
        <v>387.54</v>
      </c>
      <c r="C21" s="11">
        <f>B21-(B21*0.25)</f>
        <v>290.65500000000003</v>
      </c>
    </row>
    <row r="22" spans="1:3" ht="15" thickBot="1" x14ac:dyDescent="0.35">
      <c r="A22" s="12">
        <v>10</v>
      </c>
      <c r="B22" s="13">
        <v>473.08</v>
      </c>
      <c r="C22" s="14">
        <f>B22-(B22*0.25)</f>
        <v>354.81</v>
      </c>
    </row>
    <row r="23" spans="1:3" x14ac:dyDescent="0.3">
      <c r="A23" s="15" t="s">
        <v>64</v>
      </c>
      <c r="B23" s="16"/>
      <c r="C23" s="16"/>
    </row>
    <row r="24" spans="1:3" x14ac:dyDescent="0.3">
      <c r="A24" s="6" t="s">
        <v>0</v>
      </c>
      <c r="B24" s="7" t="s">
        <v>1</v>
      </c>
      <c r="C24" s="8" t="s">
        <v>2</v>
      </c>
    </row>
    <row r="25" spans="1:3" x14ac:dyDescent="0.3">
      <c r="A25" s="9">
        <v>2</v>
      </c>
      <c r="B25" s="10">
        <v>209.28</v>
      </c>
      <c r="C25" s="11">
        <f>B25-(B25*0.25)</f>
        <v>156.96</v>
      </c>
    </row>
    <row r="26" spans="1:3" x14ac:dyDescent="0.3">
      <c r="A26" s="9">
        <v>4</v>
      </c>
      <c r="B26" s="10">
        <v>331.07</v>
      </c>
      <c r="C26" s="11">
        <f>B26-(B26*0.25)</f>
        <v>248.30250000000001</v>
      </c>
    </row>
    <row r="27" spans="1:3" x14ac:dyDescent="0.3">
      <c r="A27" s="9">
        <v>6</v>
      </c>
      <c r="B27" s="10">
        <v>389.75</v>
      </c>
      <c r="C27" s="11">
        <f>B27-(B27*0.25)</f>
        <v>292.3125</v>
      </c>
    </row>
    <row r="28" spans="1:3" x14ac:dyDescent="0.3">
      <c r="A28" s="9">
        <v>8</v>
      </c>
      <c r="B28" s="10">
        <v>500.48</v>
      </c>
      <c r="C28" s="11">
        <f>B28-(B28*0.25)</f>
        <v>375.36</v>
      </c>
    </row>
    <row r="29" spans="1:3" ht="15" thickBot="1" x14ac:dyDescent="0.35">
      <c r="A29" s="12">
        <v>10</v>
      </c>
      <c r="B29" s="13">
        <v>620.05999999999995</v>
      </c>
      <c r="C29" s="14">
        <f>B29-(B29*0.25)</f>
        <v>465.04499999999996</v>
      </c>
    </row>
    <row r="30" spans="1:3" x14ac:dyDescent="0.3">
      <c r="A30" s="15" t="s">
        <v>65</v>
      </c>
      <c r="B30" s="16"/>
      <c r="C30" s="16"/>
    </row>
    <row r="31" spans="1:3" x14ac:dyDescent="0.3">
      <c r="A31" s="6" t="s">
        <v>0</v>
      </c>
      <c r="B31" s="7" t="s">
        <v>1</v>
      </c>
      <c r="C31" s="8" t="s">
        <v>2</v>
      </c>
    </row>
    <row r="32" spans="1:3" x14ac:dyDescent="0.3">
      <c r="A32" s="9">
        <v>2</v>
      </c>
      <c r="B32" s="10">
        <v>260.20999999999998</v>
      </c>
      <c r="C32" s="11">
        <f>B32-(B32*0.25)</f>
        <v>195.15749999999997</v>
      </c>
    </row>
    <row r="33" spans="1:3" x14ac:dyDescent="0.3">
      <c r="A33" s="9">
        <v>4</v>
      </c>
      <c r="B33" s="10">
        <v>374.25</v>
      </c>
      <c r="C33" s="11">
        <f>B33-(B33*0.25)</f>
        <v>280.6875</v>
      </c>
    </row>
    <row r="34" spans="1:3" x14ac:dyDescent="0.3">
      <c r="A34" s="9">
        <v>6</v>
      </c>
      <c r="B34" s="10">
        <v>469.47</v>
      </c>
      <c r="C34" s="11">
        <f>B34-(B34*0.25)</f>
        <v>352.10250000000002</v>
      </c>
    </row>
    <row r="35" spans="1:3" x14ac:dyDescent="0.3">
      <c r="A35" s="9">
        <v>8</v>
      </c>
      <c r="B35" s="10">
        <v>620.05999999999995</v>
      </c>
      <c r="C35" s="11">
        <f>B35-(B35*0.25)</f>
        <v>465.04499999999996</v>
      </c>
    </row>
    <row r="36" spans="1:3" ht="15" thickBot="1" x14ac:dyDescent="0.35">
      <c r="A36" s="12">
        <v>10</v>
      </c>
      <c r="B36" s="13">
        <v>768.9</v>
      </c>
      <c r="C36" s="14">
        <f>B36-(B36*0.25)</f>
        <v>576.67499999999995</v>
      </c>
    </row>
    <row r="37" spans="1:3" x14ac:dyDescent="0.3">
      <c r="A37" s="15" t="s">
        <v>66</v>
      </c>
      <c r="B37" s="16"/>
      <c r="C37" s="16"/>
    </row>
    <row r="38" spans="1:3" x14ac:dyDescent="0.3">
      <c r="A38" s="6" t="s">
        <v>0</v>
      </c>
      <c r="B38" s="7" t="s">
        <v>1</v>
      </c>
      <c r="C38" s="8" t="s">
        <v>2</v>
      </c>
    </row>
    <row r="39" spans="1:3" x14ac:dyDescent="0.3">
      <c r="A39" s="9">
        <v>2</v>
      </c>
      <c r="B39" s="10">
        <v>265.74</v>
      </c>
      <c r="C39" s="11">
        <f>B39-(B39*0.25)</f>
        <v>199.30500000000001</v>
      </c>
    </row>
    <row r="40" spans="1:3" x14ac:dyDescent="0.3">
      <c r="A40" s="9">
        <v>4</v>
      </c>
      <c r="B40" s="10">
        <v>385.06</v>
      </c>
      <c r="C40" s="11">
        <f>B40-(B40*0.25)</f>
        <v>288.79500000000002</v>
      </c>
    </row>
    <row r="41" spans="1:3" x14ac:dyDescent="0.3">
      <c r="A41" s="9">
        <v>6</v>
      </c>
      <c r="B41" s="10">
        <v>544.77</v>
      </c>
      <c r="C41" s="11">
        <f>B41-(B41*0.25)</f>
        <v>408.57749999999999</v>
      </c>
    </row>
    <row r="42" spans="1:3" x14ac:dyDescent="0.3">
      <c r="A42" s="9">
        <v>8</v>
      </c>
      <c r="B42" s="10">
        <v>714.18</v>
      </c>
      <c r="C42" s="11">
        <f>B42-(B42*0.25)</f>
        <v>535.63499999999999</v>
      </c>
    </row>
    <row r="43" spans="1:3" ht="15" thickBot="1" x14ac:dyDescent="0.35">
      <c r="A43" s="12">
        <v>10</v>
      </c>
      <c r="B43" s="13">
        <v>884.7</v>
      </c>
      <c r="C43" s="14">
        <f>B43-(B43*0.25)</f>
        <v>663.52500000000009</v>
      </c>
    </row>
  </sheetData>
  <mergeCells count="6">
    <mergeCell ref="A2:C2"/>
    <mergeCell ref="A9:C9"/>
    <mergeCell ref="A16:C16"/>
    <mergeCell ref="A23:C23"/>
    <mergeCell ref="A30:C30"/>
    <mergeCell ref="A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FEE6-EFC0-44B1-8660-7C23F5F42A01}">
  <dimension ref="A1:G26"/>
  <sheetViews>
    <sheetView workbookViewId="0">
      <selection activeCell="C31" sqref="C31"/>
    </sheetView>
  </sheetViews>
  <sheetFormatPr defaultRowHeight="14.4" x14ac:dyDescent="0.3"/>
  <cols>
    <col min="1" max="2" width="27.6640625" customWidth="1"/>
  </cols>
  <sheetData>
    <row r="1" spans="1:7" x14ac:dyDescent="0.3">
      <c r="A1" s="3" t="s">
        <v>68</v>
      </c>
      <c r="B1" s="5"/>
    </row>
    <row r="2" spans="1:7" ht="15" thickBot="1" x14ac:dyDescent="0.35">
      <c r="A2" s="17" t="s">
        <v>0</v>
      </c>
      <c r="B2" s="18" t="s">
        <v>1</v>
      </c>
    </row>
    <row r="3" spans="1:7" ht="15" thickBot="1" x14ac:dyDescent="0.35">
      <c r="A3" s="19">
        <v>2</v>
      </c>
      <c r="B3" s="20">
        <v>71.98</v>
      </c>
    </row>
    <row r="4" spans="1:7" x14ac:dyDescent="0.3">
      <c r="A4" s="9">
        <v>4</v>
      </c>
      <c r="B4" s="21">
        <v>121.8</v>
      </c>
      <c r="E4" s="3" t="s">
        <v>67</v>
      </c>
      <c r="F4" s="4"/>
      <c r="G4" s="4"/>
    </row>
    <row r="5" spans="1:7" x14ac:dyDescent="0.3">
      <c r="A5" s="9">
        <v>6</v>
      </c>
      <c r="B5" s="21">
        <v>145.05000000000001</v>
      </c>
      <c r="E5" s="15" t="s">
        <v>69</v>
      </c>
      <c r="F5" s="16"/>
      <c r="G5" s="16"/>
    </row>
    <row r="6" spans="1:7" x14ac:dyDescent="0.3">
      <c r="A6" s="9">
        <v>8</v>
      </c>
      <c r="B6" s="21">
        <v>261.31</v>
      </c>
      <c r="E6" s="15" t="s">
        <v>63</v>
      </c>
      <c r="F6" s="16"/>
      <c r="G6" s="16"/>
    </row>
    <row r="7" spans="1:7" ht="15" thickBot="1" x14ac:dyDescent="0.35">
      <c r="A7" s="12">
        <v>10</v>
      </c>
      <c r="B7" s="22">
        <v>293.43</v>
      </c>
    </row>
    <row r="8" spans="1:7" ht="15" thickBot="1" x14ac:dyDescent="0.35"/>
    <row r="9" spans="1:7" x14ac:dyDescent="0.3">
      <c r="A9" s="3" t="s">
        <v>70</v>
      </c>
      <c r="B9" s="5"/>
    </row>
    <row r="10" spans="1:7" ht="15" thickBot="1" x14ac:dyDescent="0.35">
      <c r="A10" s="17" t="s">
        <v>0</v>
      </c>
      <c r="B10" s="18" t="s">
        <v>1</v>
      </c>
    </row>
    <row r="11" spans="1:7" x14ac:dyDescent="0.3">
      <c r="A11" s="19">
        <v>2</v>
      </c>
      <c r="B11" s="20">
        <v>114.05</v>
      </c>
    </row>
    <row r="12" spans="1:7" x14ac:dyDescent="0.3">
      <c r="A12" s="9">
        <v>4</v>
      </c>
      <c r="B12" s="21">
        <v>194.88</v>
      </c>
    </row>
    <row r="13" spans="1:7" x14ac:dyDescent="0.3">
      <c r="A13" s="9">
        <v>6</v>
      </c>
      <c r="B13" s="21">
        <v>226.99</v>
      </c>
    </row>
    <row r="14" spans="1:7" x14ac:dyDescent="0.3">
      <c r="A14" s="9">
        <v>8</v>
      </c>
      <c r="B14" s="21">
        <v>285.67</v>
      </c>
    </row>
    <row r="15" spans="1:7" ht="15" thickBot="1" x14ac:dyDescent="0.35">
      <c r="A15" s="12">
        <v>10</v>
      </c>
      <c r="B15" s="22">
        <v>322.20999999999998</v>
      </c>
    </row>
    <row r="16" spans="1:7" ht="15" thickBot="1" x14ac:dyDescent="0.35"/>
    <row r="17" spans="1:2" x14ac:dyDescent="0.3">
      <c r="A17" s="3" t="s">
        <v>71</v>
      </c>
      <c r="B17" s="5"/>
    </row>
    <row r="18" spans="1:2" ht="15" thickBot="1" x14ac:dyDescent="0.35">
      <c r="A18" s="17" t="s">
        <v>0</v>
      </c>
      <c r="B18" s="18" t="s">
        <v>1</v>
      </c>
    </row>
    <row r="19" spans="1:2" x14ac:dyDescent="0.3">
      <c r="A19" s="19">
        <v>2</v>
      </c>
      <c r="B19" s="20">
        <v>177.16</v>
      </c>
    </row>
    <row r="20" spans="1:2" x14ac:dyDescent="0.3">
      <c r="A20" s="9">
        <v>4</v>
      </c>
      <c r="B20" s="21">
        <v>262.42</v>
      </c>
    </row>
    <row r="21" spans="1:2" x14ac:dyDescent="0.3">
      <c r="A21" s="9">
        <v>6</v>
      </c>
      <c r="B21" s="21">
        <v>307.82</v>
      </c>
    </row>
    <row r="22" spans="1:2" x14ac:dyDescent="0.3">
      <c r="A22" s="9">
        <v>8</v>
      </c>
      <c r="B22" s="21">
        <v>387.54</v>
      </c>
    </row>
    <row r="23" spans="1:2" ht="15" thickBot="1" x14ac:dyDescent="0.35">
      <c r="A23" s="12">
        <v>10</v>
      </c>
      <c r="B23" s="23"/>
    </row>
    <row r="24" spans="1:2" ht="15" thickBot="1" x14ac:dyDescent="0.35"/>
    <row r="25" spans="1:2" x14ac:dyDescent="0.3">
      <c r="A25" s="24" t="s">
        <v>3</v>
      </c>
      <c r="B25" s="25">
        <v>65</v>
      </c>
    </row>
    <row r="26" spans="1:2" ht="15" thickBot="1" x14ac:dyDescent="0.35">
      <c r="A26" s="26" t="s">
        <v>4</v>
      </c>
      <c r="B26" s="27">
        <v>50</v>
      </c>
    </row>
  </sheetData>
  <mergeCells count="6">
    <mergeCell ref="A1:B1"/>
    <mergeCell ref="A9:B9"/>
    <mergeCell ref="A17:B17"/>
    <mergeCell ref="E4:G4"/>
    <mergeCell ref="E5:G5"/>
    <mergeCell ref="E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2029-2CF9-40FB-9CAA-1CF8F9E94AB0}">
  <dimension ref="A1:G28"/>
  <sheetViews>
    <sheetView workbookViewId="0">
      <selection activeCell="A25" sqref="A25:B25"/>
    </sheetView>
  </sheetViews>
  <sheetFormatPr defaultRowHeight="14.4" x14ac:dyDescent="0.3"/>
  <cols>
    <col min="1" max="1" width="12.88671875" bestFit="1" customWidth="1"/>
    <col min="2" max="2" width="9.21875" bestFit="1" customWidth="1"/>
    <col min="6" max="7" width="10.44140625" bestFit="1" customWidth="1"/>
  </cols>
  <sheetData>
    <row r="1" spans="1:7" x14ac:dyDescent="0.3">
      <c r="A1" s="34" t="s">
        <v>28</v>
      </c>
      <c r="B1" s="34"/>
      <c r="C1" s="34"/>
      <c r="D1" s="34"/>
      <c r="E1" s="34"/>
      <c r="F1" s="34"/>
      <c r="G1" s="34"/>
    </row>
    <row r="2" spans="1:7" x14ac:dyDescent="0.3">
      <c r="A2" s="34" t="s">
        <v>29</v>
      </c>
      <c r="B2" s="34"/>
      <c r="C2" s="34"/>
      <c r="D2" s="34"/>
      <c r="E2" s="34"/>
      <c r="F2" s="34"/>
      <c r="G2" s="34"/>
    </row>
    <row r="3" spans="1:7" x14ac:dyDescent="0.3">
      <c r="A3" s="2"/>
      <c r="B3" s="34" t="s">
        <v>30</v>
      </c>
      <c r="C3" s="34"/>
      <c r="D3" s="34"/>
      <c r="E3" s="34"/>
      <c r="F3" s="34"/>
      <c r="G3" s="34"/>
    </row>
    <row r="4" spans="1:7" x14ac:dyDescent="0.3">
      <c r="A4" s="2" t="s">
        <v>6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</row>
    <row r="5" spans="1:7" x14ac:dyDescent="0.3">
      <c r="A5" s="1" t="s">
        <v>7</v>
      </c>
      <c r="B5" s="31">
        <v>60.9</v>
      </c>
      <c r="C5" s="31">
        <v>105.19</v>
      </c>
      <c r="D5" s="31">
        <v>157.22999999999999</v>
      </c>
      <c r="E5" s="31">
        <v>209.28</v>
      </c>
      <c r="F5" s="31">
        <v>260.20999999999998</v>
      </c>
      <c r="G5" s="31">
        <v>265.74</v>
      </c>
    </row>
    <row r="6" spans="1:7" x14ac:dyDescent="0.3">
      <c r="A6" s="1" t="s">
        <v>31</v>
      </c>
      <c r="B6" s="31">
        <v>19.18</v>
      </c>
      <c r="C6" s="31">
        <v>33.14</v>
      </c>
      <c r="D6" s="31">
        <v>49.53</v>
      </c>
      <c r="E6" s="31">
        <v>65.92</v>
      </c>
      <c r="F6" s="31">
        <v>81.97</v>
      </c>
      <c r="G6" s="31">
        <v>83.71</v>
      </c>
    </row>
    <row r="7" spans="1:7" x14ac:dyDescent="0.3">
      <c r="A7" s="2" t="s">
        <v>32</v>
      </c>
      <c r="B7" s="33">
        <v>80.08</v>
      </c>
      <c r="C7" s="33">
        <v>138.33000000000001</v>
      </c>
      <c r="D7" s="33">
        <v>206.76</v>
      </c>
      <c r="E7" s="33">
        <v>275.2</v>
      </c>
      <c r="F7" s="33">
        <v>342.18</v>
      </c>
      <c r="G7" s="33">
        <v>349.45</v>
      </c>
    </row>
    <row r="8" spans="1:7" x14ac:dyDescent="0.3">
      <c r="A8" s="1"/>
      <c r="B8" s="31"/>
      <c r="C8" s="31"/>
      <c r="D8" s="31"/>
      <c r="E8" s="31"/>
      <c r="F8" s="31"/>
      <c r="G8" s="31"/>
    </row>
    <row r="9" spans="1:7" x14ac:dyDescent="0.3">
      <c r="A9" s="1" t="s">
        <v>8</v>
      </c>
      <c r="B9" s="31">
        <v>111.84</v>
      </c>
      <c r="C9" s="31">
        <v>194.88</v>
      </c>
      <c r="D9" s="31">
        <v>262.42</v>
      </c>
      <c r="E9" s="31">
        <v>331.07</v>
      </c>
      <c r="F9" s="31">
        <v>374.25</v>
      </c>
      <c r="G9" s="31">
        <v>385.06</v>
      </c>
    </row>
    <row r="10" spans="1:7" x14ac:dyDescent="0.3">
      <c r="A10" s="1" t="s">
        <v>31</v>
      </c>
      <c r="B10" s="31">
        <v>35.229999999999997</v>
      </c>
      <c r="C10" s="31">
        <v>61.39</v>
      </c>
      <c r="D10" s="31">
        <v>82.66</v>
      </c>
      <c r="E10" s="31">
        <v>104.29</v>
      </c>
      <c r="F10" s="31">
        <v>117.89</v>
      </c>
      <c r="G10" s="31">
        <v>121.29</v>
      </c>
    </row>
    <row r="11" spans="1:7" x14ac:dyDescent="0.3">
      <c r="A11" s="2" t="s">
        <v>32</v>
      </c>
      <c r="B11" s="33">
        <v>147.07</v>
      </c>
      <c r="C11" s="33">
        <v>256.27</v>
      </c>
      <c r="D11" s="33">
        <v>345.08</v>
      </c>
      <c r="E11" s="33">
        <v>435.36</v>
      </c>
      <c r="F11" s="33">
        <v>492.14</v>
      </c>
      <c r="G11" s="33">
        <v>506.35</v>
      </c>
    </row>
    <row r="12" spans="1:7" x14ac:dyDescent="0.3">
      <c r="A12" s="1"/>
      <c r="B12" s="31"/>
      <c r="C12" s="31"/>
      <c r="D12" s="31"/>
      <c r="E12" s="31"/>
      <c r="F12" s="31"/>
      <c r="G12" s="31"/>
    </row>
    <row r="13" spans="1:7" x14ac:dyDescent="0.3">
      <c r="A13" s="1" t="s">
        <v>9</v>
      </c>
      <c r="B13" s="31">
        <v>143.94</v>
      </c>
      <c r="C13" s="31">
        <v>226.99</v>
      </c>
      <c r="D13" s="31">
        <v>307.82</v>
      </c>
      <c r="E13" s="31">
        <v>389.75</v>
      </c>
      <c r="F13" s="31">
        <v>469.47</v>
      </c>
      <c r="G13" s="31">
        <v>544.77</v>
      </c>
    </row>
    <row r="14" spans="1:7" x14ac:dyDescent="0.3">
      <c r="A14" s="1" t="s">
        <v>31</v>
      </c>
      <c r="B14" s="31">
        <v>45.34</v>
      </c>
      <c r="C14" s="31">
        <v>71.5</v>
      </c>
      <c r="D14" s="31">
        <v>96.96</v>
      </c>
      <c r="E14" s="31">
        <v>122.77</v>
      </c>
      <c r="F14" s="31">
        <v>147.88</v>
      </c>
      <c r="G14" s="31">
        <v>171.6</v>
      </c>
    </row>
    <row r="15" spans="1:7" x14ac:dyDescent="0.3">
      <c r="A15" s="2" t="s">
        <v>32</v>
      </c>
      <c r="B15" s="33">
        <v>189.28</v>
      </c>
      <c r="C15" s="33">
        <v>298.49</v>
      </c>
      <c r="D15" s="33">
        <v>404.78</v>
      </c>
      <c r="E15" s="33">
        <v>512.52</v>
      </c>
      <c r="F15" s="33">
        <v>617.35</v>
      </c>
      <c r="G15" s="33">
        <v>716.37</v>
      </c>
    </row>
    <row r="16" spans="1:7" x14ac:dyDescent="0.3">
      <c r="A16" s="1"/>
      <c r="B16" s="31"/>
      <c r="C16" s="31"/>
      <c r="D16" s="31"/>
      <c r="E16" s="31"/>
      <c r="F16" s="31"/>
      <c r="G16" s="31"/>
    </row>
    <row r="17" spans="1:7" x14ac:dyDescent="0.3">
      <c r="A17" s="1" t="s">
        <v>10</v>
      </c>
      <c r="B17" s="31">
        <v>151.69999999999999</v>
      </c>
      <c r="C17" s="31">
        <v>272.38</v>
      </c>
      <c r="D17" s="31">
        <v>387.54</v>
      </c>
      <c r="E17" s="31">
        <v>500.48</v>
      </c>
      <c r="F17" s="31">
        <v>620.05999999999995</v>
      </c>
      <c r="G17" s="31">
        <v>714.18</v>
      </c>
    </row>
    <row r="18" spans="1:7" x14ac:dyDescent="0.3">
      <c r="A18" s="1" t="s">
        <v>31</v>
      </c>
      <c r="B18" s="31">
        <v>47.78</v>
      </c>
      <c r="C18" s="31">
        <v>85.8</v>
      </c>
      <c r="D18" s="31">
        <v>122.07</v>
      </c>
      <c r="E18" s="31">
        <v>157.65</v>
      </c>
      <c r="F18" s="31">
        <v>195.32</v>
      </c>
      <c r="G18" s="31">
        <v>224.97</v>
      </c>
    </row>
    <row r="19" spans="1:7" x14ac:dyDescent="0.3">
      <c r="A19" s="2" t="s">
        <v>32</v>
      </c>
      <c r="B19" s="33">
        <v>199.48</v>
      </c>
      <c r="C19" s="33">
        <v>358.18</v>
      </c>
      <c r="D19" s="33">
        <v>509.61</v>
      </c>
      <c r="E19" s="33">
        <v>658.13</v>
      </c>
      <c r="F19" s="33">
        <v>815.38</v>
      </c>
      <c r="G19" s="33">
        <v>939.15</v>
      </c>
    </row>
    <row r="20" spans="1:7" x14ac:dyDescent="0.3">
      <c r="A20" s="1"/>
      <c r="B20" s="31"/>
      <c r="C20" s="31"/>
      <c r="D20" s="31"/>
      <c r="E20" s="31"/>
      <c r="F20" s="31"/>
      <c r="G20" s="31"/>
    </row>
    <row r="21" spans="1:7" x14ac:dyDescent="0.3">
      <c r="A21" s="1" t="s">
        <v>11</v>
      </c>
      <c r="B21" s="31">
        <v>178.27</v>
      </c>
      <c r="C21" s="31">
        <v>338.82</v>
      </c>
      <c r="D21" s="31">
        <v>473.08</v>
      </c>
      <c r="E21" s="31">
        <v>620.05999999999995</v>
      </c>
      <c r="F21" s="31">
        <v>768.9</v>
      </c>
      <c r="G21" s="31">
        <v>884.7</v>
      </c>
    </row>
    <row r="22" spans="1:7" x14ac:dyDescent="0.3">
      <c r="A22" s="1" t="s">
        <v>31</v>
      </c>
      <c r="B22" s="31">
        <v>56.16</v>
      </c>
      <c r="C22" s="31">
        <v>106.73</v>
      </c>
      <c r="D22" s="31">
        <v>149.02000000000001</v>
      </c>
      <c r="E22" s="31">
        <v>195.32</v>
      </c>
      <c r="F22" s="31">
        <v>242.2</v>
      </c>
      <c r="G22" s="31">
        <v>278.68</v>
      </c>
    </row>
    <row r="23" spans="1:7" x14ac:dyDescent="0.3">
      <c r="A23" s="2" t="s">
        <v>32</v>
      </c>
      <c r="B23" s="33">
        <v>234.43</v>
      </c>
      <c r="C23" s="33">
        <v>445.55</v>
      </c>
      <c r="D23" s="33">
        <v>622.1</v>
      </c>
      <c r="E23" s="33">
        <v>815.38</v>
      </c>
      <c r="F23" s="33">
        <v>1011.1</v>
      </c>
      <c r="G23" s="33">
        <v>1163.3800000000001</v>
      </c>
    </row>
    <row r="24" spans="1:7" x14ac:dyDescent="0.3">
      <c r="A24" s="1"/>
      <c r="B24" s="31"/>
      <c r="C24" s="31"/>
      <c r="D24" s="31"/>
      <c r="E24" s="31"/>
      <c r="F24" s="31"/>
      <c r="G24" s="31"/>
    </row>
    <row r="25" spans="1:7" x14ac:dyDescent="0.3">
      <c r="A25" s="2" t="s">
        <v>50</v>
      </c>
      <c r="B25" s="33" t="s">
        <v>51</v>
      </c>
      <c r="C25" s="31"/>
      <c r="D25" s="31"/>
      <c r="E25" s="31"/>
      <c r="F25" s="31"/>
      <c r="G25" s="31"/>
    </row>
    <row r="26" spans="1:7" x14ac:dyDescent="0.3">
      <c r="A26" s="1" t="s">
        <v>3</v>
      </c>
      <c r="B26" s="33">
        <v>50</v>
      </c>
      <c r="C26" s="31"/>
      <c r="D26" s="31"/>
      <c r="E26" s="31"/>
      <c r="F26" s="31"/>
      <c r="G26" s="31"/>
    </row>
    <row r="27" spans="1:7" x14ac:dyDescent="0.3">
      <c r="A27" s="1" t="s">
        <v>4</v>
      </c>
      <c r="B27" s="33">
        <v>50</v>
      </c>
      <c r="C27" s="31"/>
      <c r="D27" s="31"/>
      <c r="E27" s="31"/>
      <c r="F27" s="31"/>
      <c r="G27" s="31"/>
    </row>
    <row r="28" spans="1:7" x14ac:dyDescent="0.3">
      <c r="A28" s="1" t="s">
        <v>5</v>
      </c>
      <c r="B28" s="35">
        <v>0.1</v>
      </c>
      <c r="C28" s="1"/>
      <c r="D28" s="1"/>
      <c r="E28" s="1"/>
      <c r="F28" s="1"/>
      <c r="G28" s="1"/>
    </row>
  </sheetData>
  <mergeCells count="3">
    <mergeCell ref="A1:G1"/>
    <mergeCell ref="A2:G2"/>
    <mergeCell ref="B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B644-043A-461F-A34A-C95C74819EF9}">
  <dimension ref="A1:F26"/>
  <sheetViews>
    <sheetView workbookViewId="0">
      <selection activeCell="A12" sqref="A12:C12"/>
    </sheetView>
  </sheetViews>
  <sheetFormatPr defaultRowHeight="14.4" x14ac:dyDescent="0.3"/>
  <cols>
    <col min="1" max="1" width="40.21875" bestFit="1" customWidth="1"/>
    <col min="2" max="2" width="11" bestFit="1" customWidth="1"/>
    <col min="3" max="3" width="12.21875" bestFit="1" customWidth="1"/>
    <col min="4" max="6" width="8.6640625" bestFit="1" customWidth="1"/>
  </cols>
  <sheetData>
    <row r="1" spans="1:6" x14ac:dyDescent="0.3">
      <c r="A1" s="34" t="s">
        <v>33</v>
      </c>
      <c r="B1" s="34"/>
      <c r="C1" s="34"/>
      <c r="D1" s="34"/>
      <c r="E1" s="34"/>
      <c r="F1" s="34"/>
    </row>
    <row r="2" spans="1:6" x14ac:dyDescent="0.3">
      <c r="A2" s="1"/>
      <c r="B2" s="34" t="s">
        <v>6</v>
      </c>
      <c r="C2" s="34"/>
      <c r="D2" s="34"/>
      <c r="E2" s="34"/>
      <c r="F2" s="34"/>
    </row>
    <row r="3" spans="1:6" x14ac:dyDescent="0.3">
      <c r="A3" s="2" t="s">
        <v>54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3">
      <c r="A4" s="1" t="s">
        <v>16</v>
      </c>
      <c r="B4" s="31">
        <v>100</v>
      </c>
      <c r="C4" s="31">
        <v>100</v>
      </c>
      <c r="D4" s="31">
        <v>100</v>
      </c>
      <c r="E4" s="31">
        <v>100</v>
      </c>
      <c r="F4" s="31">
        <v>100</v>
      </c>
    </row>
    <row r="5" spans="1:6" x14ac:dyDescent="0.3">
      <c r="A5" s="1" t="s">
        <v>17</v>
      </c>
      <c r="B5" s="31">
        <v>165</v>
      </c>
      <c r="C5" s="31">
        <v>195</v>
      </c>
      <c r="D5" s="31">
        <v>235</v>
      </c>
      <c r="E5" s="31">
        <v>265</v>
      </c>
      <c r="F5" s="31">
        <v>295</v>
      </c>
    </row>
    <row r="6" spans="1:6" x14ac:dyDescent="0.3">
      <c r="A6" s="1" t="s">
        <v>18</v>
      </c>
      <c r="B6" s="31">
        <v>51.5</v>
      </c>
      <c r="C6" s="31">
        <v>51.5</v>
      </c>
      <c r="D6" s="31">
        <v>51.5</v>
      </c>
      <c r="E6" s="31">
        <v>51.5</v>
      </c>
      <c r="F6" s="31">
        <v>51.5</v>
      </c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2" t="s">
        <v>55</v>
      </c>
      <c r="B8" s="2" t="s">
        <v>54</v>
      </c>
      <c r="C8" s="2" t="s">
        <v>37</v>
      </c>
      <c r="D8" s="1"/>
      <c r="E8" s="1"/>
      <c r="F8" s="1"/>
    </row>
    <row r="9" spans="1:6" x14ac:dyDescent="0.3">
      <c r="A9" s="1" t="s">
        <v>22</v>
      </c>
      <c r="B9" s="32">
        <v>0.1</v>
      </c>
      <c r="C9" s="1" t="s">
        <v>53</v>
      </c>
      <c r="D9" s="1"/>
      <c r="E9" s="1"/>
      <c r="F9" s="1"/>
    </row>
    <row r="10" spans="1:6" x14ac:dyDescent="0.3">
      <c r="A10" s="1" t="s">
        <v>23</v>
      </c>
      <c r="B10" s="36">
        <v>1</v>
      </c>
      <c r="C10" s="1" t="s">
        <v>52</v>
      </c>
      <c r="D10" s="1"/>
      <c r="E10" s="1"/>
      <c r="F10" s="1"/>
    </row>
    <row r="11" spans="1:6" x14ac:dyDescent="0.3">
      <c r="A11" s="1" t="s">
        <v>56</v>
      </c>
      <c r="B11" s="31">
        <v>260</v>
      </c>
      <c r="C11" s="1" t="s">
        <v>57</v>
      </c>
      <c r="D11" s="1"/>
      <c r="E11" s="1"/>
      <c r="F11" s="1"/>
    </row>
    <row r="12" spans="1:6" x14ac:dyDescent="0.3">
      <c r="A12" s="37" t="s">
        <v>34</v>
      </c>
      <c r="B12" s="37"/>
      <c r="C12" s="37"/>
      <c r="D12" s="39"/>
      <c r="E12" s="39"/>
      <c r="F12" s="1"/>
    </row>
    <row r="13" spans="1:6" x14ac:dyDescent="0.3">
      <c r="A13" s="38" t="s">
        <v>35</v>
      </c>
      <c r="B13" s="38" t="s">
        <v>36</v>
      </c>
      <c r="C13" s="38" t="s">
        <v>37</v>
      </c>
      <c r="D13" s="1"/>
      <c r="E13" s="1"/>
      <c r="F13" s="1"/>
    </row>
    <row r="14" spans="1:6" x14ac:dyDescent="0.3">
      <c r="A14" s="29" t="s">
        <v>38</v>
      </c>
      <c r="B14" s="30">
        <v>0</v>
      </c>
      <c r="C14" s="29" t="s">
        <v>39</v>
      </c>
      <c r="D14" s="1"/>
      <c r="E14" s="1"/>
      <c r="F14" s="1"/>
    </row>
    <row r="15" spans="1:6" x14ac:dyDescent="0.3">
      <c r="A15" s="29" t="s">
        <v>40</v>
      </c>
      <c r="B15" s="30">
        <v>51.5</v>
      </c>
      <c r="C15" s="29" t="s">
        <v>39</v>
      </c>
      <c r="D15" s="1"/>
      <c r="E15" s="1"/>
      <c r="F15" s="1"/>
    </row>
    <row r="16" spans="1:6" x14ac:dyDescent="0.3">
      <c r="A16" s="29" t="s">
        <v>41</v>
      </c>
      <c r="B16" s="30">
        <v>51.5</v>
      </c>
      <c r="C16" s="29" t="s">
        <v>39</v>
      </c>
      <c r="D16" s="1"/>
      <c r="E16" s="1"/>
      <c r="F16" s="1"/>
    </row>
    <row r="17" spans="1:6" x14ac:dyDescent="0.3">
      <c r="A17" s="29" t="s">
        <v>42</v>
      </c>
      <c r="B17" s="30">
        <v>221.5</v>
      </c>
      <c r="C17" s="29" t="s">
        <v>39</v>
      </c>
      <c r="D17" s="1"/>
      <c r="E17" s="1"/>
      <c r="F17" s="1"/>
    </row>
    <row r="18" spans="1:6" x14ac:dyDescent="0.3">
      <c r="A18" s="29" t="s">
        <v>43</v>
      </c>
      <c r="B18" s="30">
        <v>0</v>
      </c>
      <c r="C18" s="29" t="s">
        <v>39</v>
      </c>
      <c r="D18" s="1"/>
      <c r="E18" s="1"/>
      <c r="F18" s="1"/>
    </row>
    <row r="19" spans="1:6" x14ac:dyDescent="0.3">
      <c r="A19" s="29" t="s">
        <v>44</v>
      </c>
      <c r="B19" s="30">
        <v>51.5</v>
      </c>
      <c r="C19" s="29" t="s">
        <v>39</v>
      </c>
      <c r="D19" s="1"/>
      <c r="E19" s="1"/>
      <c r="F19" s="1"/>
    </row>
    <row r="20" spans="1:6" x14ac:dyDescent="0.3">
      <c r="A20" s="29" t="s">
        <v>45</v>
      </c>
      <c r="B20" s="30">
        <v>10</v>
      </c>
      <c r="C20" s="29" t="s">
        <v>46</v>
      </c>
      <c r="D20" s="1"/>
      <c r="E20" s="1"/>
      <c r="F20" s="1"/>
    </row>
    <row r="21" spans="1:6" x14ac:dyDescent="0.3">
      <c r="A21" s="29" t="s">
        <v>47</v>
      </c>
      <c r="B21" s="30">
        <v>51.5</v>
      </c>
      <c r="C21" s="29" t="s">
        <v>39</v>
      </c>
      <c r="D21" s="1"/>
      <c r="E21" s="1"/>
      <c r="F21" s="1"/>
    </row>
    <row r="22" spans="1:6" x14ac:dyDescent="0.3">
      <c r="A22" s="37" t="s">
        <v>48</v>
      </c>
      <c r="B22" s="37"/>
      <c r="C22" s="37"/>
      <c r="D22" s="39"/>
      <c r="E22" s="39"/>
      <c r="F22" s="1"/>
    </row>
    <row r="23" spans="1:6" x14ac:dyDescent="0.3">
      <c r="A23" s="38" t="s">
        <v>49</v>
      </c>
      <c r="B23" s="38" t="s">
        <v>36</v>
      </c>
      <c r="C23" s="38" t="s">
        <v>37</v>
      </c>
      <c r="D23" s="29"/>
      <c r="E23" s="29"/>
      <c r="F23" s="1"/>
    </row>
    <row r="24" spans="1:6" x14ac:dyDescent="0.3">
      <c r="A24" s="29" t="s">
        <v>19</v>
      </c>
      <c r="B24" s="30">
        <v>86.5</v>
      </c>
      <c r="C24" s="29" t="s">
        <v>39</v>
      </c>
      <c r="D24" s="1"/>
      <c r="E24" s="1"/>
      <c r="F24" s="1"/>
    </row>
    <row r="25" spans="1:6" x14ac:dyDescent="0.3">
      <c r="A25" s="29" t="s">
        <v>20</v>
      </c>
      <c r="B25" s="30">
        <v>216.5</v>
      </c>
      <c r="C25" s="29" t="s">
        <v>39</v>
      </c>
      <c r="D25" s="1"/>
      <c r="E25" s="1"/>
      <c r="F25" s="1"/>
    </row>
    <row r="26" spans="1:6" x14ac:dyDescent="0.3">
      <c r="A26" s="29" t="s">
        <v>21</v>
      </c>
      <c r="B26" s="30">
        <v>221.5</v>
      </c>
      <c r="C26" s="29" t="s">
        <v>39</v>
      </c>
      <c r="D26" s="1"/>
      <c r="E26" s="1"/>
      <c r="F26" s="1"/>
    </row>
  </sheetData>
  <mergeCells count="4">
    <mergeCell ref="A1:F1"/>
    <mergeCell ref="A12:C12"/>
    <mergeCell ref="A22:C22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D1A5-1C6E-4600-8D89-F090951D6F02}">
  <dimension ref="A1:D30"/>
  <sheetViews>
    <sheetView workbookViewId="0">
      <selection activeCell="D6" sqref="D6"/>
    </sheetView>
  </sheetViews>
  <sheetFormatPr defaultRowHeight="14.4" x14ac:dyDescent="0.3"/>
  <cols>
    <col min="1" max="1" width="12.77734375" bestFit="1" customWidth="1"/>
    <col min="4" max="4" width="21" customWidth="1"/>
  </cols>
  <sheetData>
    <row r="1" spans="1:4" x14ac:dyDescent="0.3">
      <c r="A1" s="34" t="s">
        <v>27</v>
      </c>
      <c r="B1" s="34"/>
      <c r="C1" s="34"/>
      <c r="D1" s="34"/>
    </row>
    <row r="2" spans="1:4" x14ac:dyDescent="0.3">
      <c r="A2" s="34" t="s">
        <v>26</v>
      </c>
      <c r="B2" s="34"/>
      <c r="C2" s="34"/>
      <c r="D2" s="34"/>
    </row>
    <row r="3" spans="1:4" x14ac:dyDescent="0.3">
      <c r="A3" s="2" t="s">
        <v>6</v>
      </c>
      <c r="B3" s="2">
        <v>1</v>
      </c>
      <c r="C3" s="2">
        <v>2</v>
      </c>
      <c r="D3" s="2">
        <v>3</v>
      </c>
    </row>
    <row r="4" spans="1:4" x14ac:dyDescent="0.3">
      <c r="A4" s="1" t="s">
        <v>7</v>
      </c>
      <c r="B4" s="31">
        <v>71.98</v>
      </c>
      <c r="C4" s="31">
        <v>114.05</v>
      </c>
      <c r="D4" s="31">
        <v>177.16</v>
      </c>
    </row>
    <row r="5" spans="1:4" x14ac:dyDescent="0.3">
      <c r="A5" s="1" t="s">
        <v>31</v>
      </c>
      <c r="B5" s="31">
        <v>22.67</v>
      </c>
      <c r="C5" s="31">
        <v>35.93</v>
      </c>
      <c r="D5" s="31">
        <v>55.81</v>
      </c>
    </row>
    <row r="6" spans="1:4" x14ac:dyDescent="0.3">
      <c r="A6" s="2" t="s">
        <v>32</v>
      </c>
      <c r="B6" s="31">
        <v>94.65</v>
      </c>
      <c r="C6" s="31">
        <v>149.97999999999999</v>
      </c>
      <c r="D6" s="31">
        <v>232.97</v>
      </c>
    </row>
    <row r="7" spans="1:4" x14ac:dyDescent="0.3">
      <c r="A7" s="1"/>
      <c r="B7" s="31"/>
      <c r="C7" s="31"/>
      <c r="D7" s="31"/>
    </row>
    <row r="8" spans="1:4" x14ac:dyDescent="0.3">
      <c r="A8" s="1" t="s">
        <v>8</v>
      </c>
      <c r="B8" s="31">
        <v>121.8</v>
      </c>
      <c r="C8" s="31">
        <v>194.88</v>
      </c>
      <c r="D8" s="31">
        <v>262.42</v>
      </c>
    </row>
    <row r="9" spans="1:4" x14ac:dyDescent="0.3">
      <c r="A9" s="1" t="s">
        <v>31</v>
      </c>
      <c r="B9" s="31">
        <v>38.369999999999997</v>
      </c>
      <c r="C9" s="31">
        <v>61.39</v>
      </c>
      <c r="D9" s="31">
        <v>82.66</v>
      </c>
    </row>
    <row r="10" spans="1:4" x14ac:dyDescent="0.3">
      <c r="A10" s="2" t="s">
        <v>32</v>
      </c>
      <c r="B10" s="31">
        <v>160.16999999999999</v>
      </c>
      <c r="C10" s="31">
        <v>256.27</v>
      </c>
      <c r="D10" s="31">
        <v>345.08</v>
      </c>
    </row>
    <row r="11" spans="1:4" x14ac:dyDescent="0.3">
      <c r="A11" s="1"/>
      <c r="B11" s="31"/>
      <c r="C11" s="31"/>
      <c r="D11" s="31"/>
    </row>
    <row r="12" spans="1:4" x14ac:dyDescent="0.3">
      <c r="A12" s="1" t="s">
        <v>9</v>
      </c>
      <c r="B12" s="31">
        <v>145.05000000000001</v>
      </c>
      <c r="C12" s="31">
        <v>226.99</v>
      </c>
      <c r="D12" s="31">
        <v>307.82</v>
      </c>
    </row>
    <row r="13" spans="1:4" x14ac:dyDescent="0.3">
      <c r="A13" s="1" t="s">
        <v>31</v>
      </c>
      <c r="B13" s="31">
        <v>45.69</v>
      </c>
      <c r="C13" s="31">
        <v>71.5</v>
      </c>
      <c r="D13" s="31">
        <v>96.96</v>
      </c>
    </row>
    <row r="14" spans="1:4" x14ac:dyDescent="0.3">
      <c r="A14" s="2" t="s">
        <v>32</v>
      </c>
      <c r="B14" s="31">
        <v>190.74</v>
      </c>
      <c r="C14" s="31">
        <v>298.49</v>
      </c>
      <c r="D14" s="31">
        <v>404.78</v>
      </c>
    </row>
    <row r="15" spans="1:4" x14ac:dyDescent="0.3">
      <c r="A15" s="1"/>
      <c r="B15" s="31"/>
      <c r="C15" s="31"/>
      <c r="D15" s="31"/>
    </row>
    <row r="16" spans="1:4" x14ac:dyDescent="0.3">
      <c r="A16" s="1" t="s">
        <v>10</v>
      </c>
      <c r="B16" s="31">
        <v>261.31</v>
      </c>
      <c r="C16" s="31">
        <v>285.67</v>
      </c>
      <c r="D16" s="31">
        <v>387.54</v>
      </c>
    </row>
    <row r="17" spans="1:4" x14ac:dyDescent="0.3">
      <c r="A17" s="1" t="s">
        <v>31</v>
      </c>
      <c r="B17" s="31">
        <v>82.31</v>
      </c>
      <c r="C17" s="31">
        <v>89.99</v>
      </c>
      <c r="D17" s="31">
        <v>122.07</v>
      </c>
    </row>
    <row r="18" spans="1:4" x14ac:dyDescent="0.3">
      <c r="A18" s="2" t="s">
        <v>32</v>
      </c>
      <c r="B18" s="31">
        <v>343.62</v>
      </c>
      <c r="C18" s="31">
        <v>375.66</v>
      </c>
      <c r="D18" s="31">
        <v>509.61</v>
      </c>
    </row>
    <row r="19" spans="1:4" x14ac:dyDescent="0.3">
      <c r="A19" s="1"/>
      <c r="B19" s="31"/>
      <c r="C19" s="31"/>
      <c r="D19" s="31"/>
    </row>
    <row r="20" spans="1:4" x14ac:dyDescent="0.3">
      <c r="A20" s="1" t="s">
        <v>11</v>
      </c>
      <c r="B20" s="31">
        <v>293.43</v>
      </c>
      <c r="C20" s="31">
        <v>322.20999999999998</v>
      </c>
      <c r="D20" s="31" t="s">
        <v>59</v>
      </c>
    </row>
    <row r="21" spans="1:4" x14ac:dyDescent="0.3">
      <c r="A21" s="1" t="s">
        <v>31</v>
      </c>
      <c r="B21" s="31">
        <v>92.43</v>
      </c>
      <c r="C21" s="31">
        <v>101.5</v>
      </c>
      <c r="D21" s="31" t="s">
        <v>59</v>
      </c>
    </row>
    <row r="22" spans="1:4" x14ac:dyDescent="0.3">
      <c r="A22" s="2" t="s">
        <v>32</v>
      </c>
      <c r="B22" s="31">
        <v>385.86</v>
      </c>
      <c r="C22" s="31">
        <v>423.71</v>
      </c>
      <c r="D22" s="31" t="s">
        <v>59</v>
      </c>
    </row>
    <row r="23" spans="1:4" x14ac:dyDescent="0.3">
      <c r="A23" s="1"/>
      <c r="B23" s="31"/>
      <c r="C23" s="31"/>
      <c r="D23" s="31"/>
    </row>
    <row r="24" spans="1:4" x14ac:dyDescent="0.3">
      <c r="A24" s="2" t="s">
        <v>50</v>
      </c>
      <c r="B24" s="33" t="s">
        <v>51</v>
      </c>
      <c r="C24" s="31"/>
      <c r="D24" s="31"/>
    </row>
    <row r="25" spans="1:4" x14ac:dyDescent="0.3">
      <c r="A25" s="1" t="s">
        <v>3</v>
      </c>
      <c r="B25" s="31">
        <v>65</v>
      </c>
      <c r="C25" s="31"/>
      <c r="D25" s="31"/>
    </row>
    <row r="26" spans="1:4" x14ac:dyDescent="0.3">
      <c r="A26" s="1" t="s">
        <v>4</v>
      </c>
      <c r="B26" s="31">
        <v>50</v>
      </c>
      <c r="C26" s="31"/>
      <c r="D26" s="31"/>
    </row>
    <row r="27" spans="1:4" x14ac:dyDescent="0.3">
      <c r="A27" s="1" t="s">
        <v>5</v>
      </c>
      <c r="B27" s="32">
        <v>0.1</v>
      </c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2" t="s">
        <v>58</v>
      </c>
      <c r="B29" s="2" t="s">
        <v>16</v>
      </c>
      <c r="C29" s="2" t="s">
        <v>17</v>
      </c>
      <c r="D29" s="2" t="s">
        <v>25</v>
      </c>
    </row>
    <row r="30" spans="1:4" x14ac:dyDescent="0.3">
      <c r="A30" s="1" t="s">
        <v>24</v>
      </c>
      <c r="B30" s="28">
        <v>400</v>
      </c>
      <c r="C30" s="28">
        <v>615</v>
      </c>
      <c r="D30" s="28">
        <v>221.5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PromotionPricing-FL Only</vt:lpstr>
      <vt:lpstr>Front load Outside City Limits</vt:lpstr>
      <vt:lpstr>Pricing-Front Load</vt:lpstr>
      <vt:lpstr>Pricing-Roll Off</vt:lpstr>
      <vt:lpstr>Pricing - FL OutsideCityLimits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2025-10-23T16:20:09Z</dcterms:created>
  <dcterms:modified xsi:type="dcterms:W3CDTF">2025-10-23T17:08:39Z</dcterms:modified>
</cp:coreProperties>
</file>